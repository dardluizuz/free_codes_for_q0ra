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45" windowHeight="7680"/>
  </bookViews>
  <sheets>
    <sheet name="alpha_max_plus_beta_min" sheetId="1" r:id="rId1"/>
  </sheets>
  <functionGroups builtInGroupCount="18"/>
  <definedNames>
    <definedName name="solver_adj" localSheetId="0" hidden="1">alpha_max_plus_beta_min!$C$10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alpha_max_plus_beta_min!$C$10</definedName>
    <definedName name="solver_lhs2" localSheetId="0" hidden="1">alpha_max_plus_beta_min!$C$10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alpha_max_plus_beta_min!$F$10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1</definedName>
    <definedName name="solver_rhs1" localSheetId="0" hidden="1">0</definedName>
    <definedName name="solver_rhs2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7" i="1" l="1"/>
  <c r="B48" i="1" s="1"/>
  <c r="G60" i="1" s="1"/>
  <c r="G61" i="1" s="1"/>
  <c r="A51" i="1"/>
  <c r="B52" i="1"/>
  <c r="A52" i="1" s="1"/>
  <c r="H69" i="1"/>
  <c r="H65" i="1"/>
  <c r="H61" i="1"/>
  <c r="C52" i="1"/>
  <c r="C51" i="1"/>
  <c r="B53" i="1" l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C14" i="1"/>
  <c r="C53" i="1"/>
  <c r="B45" i="1"/>
  <c r="B46" i="1"/>
  <c r="B44" i="1"/>
  <c r="D6" i="1"/>
  <c r="F12" i="1"/>
  <c r="F11" i="1"/>
  <c r="E11" i="1"/>
  <c r="D11" i="1"/>
  <c r="D9" i="1"/>
  <c r="D13" i="1"/>
  <c r="F9" i="1"/>
  <c r="D15" i="1"/>
  <c r="E20" i="1"/>
  <c r="E17" i="1"/>
  <c r="D10" i="1"/>
  <c r="E15" i="1"/>
  <c r="F20" i="1"/>
  <c r="F7" i="1"/>
  <c r="E18" i="1"/>
  <c r="D12" i="1"/>
  <c r="F6" i="1"/>
  <c r="E16" i="1"/>
  <c r="F16" i="1"/>
  <c r="E14" i="1"/>
  <c r="D7" i="1"/>
  <c r="E12" i="1"/>
  <c r="F17" i="1"/>
  <c r="F10" i="1"/>
  <c r="E7" i="1"/>
  <c r="D18" i="1"/>
  <c r="F14" i="1"/>
  <c r="E10" i="1"/>
  <c r="F15" i="1"/>
  <c r="D21" i="1"/>
  <c r="D20" i="1"/>
  <c r="F21" i="1"/>
  <c r="E9" i="1"/>
  <c r="F19" i="1"/>
  <c r="E8" i="1"/>
  <c r="F13" i="1"/>
  <c r="D19" i="1"/>
  <c r="E13" i="1"/>
  <c r="F8" i="1"/>
  <c r="D14" i="1"/>
  <c r="E19" i="1"/>
  <c r="F18" i="1"/>
  <c r="D17" i="1"/>
  <c r="D8" i="1"/>
  <c r="E6" i="1"/>
  <c r="E21" i="1"/>
  <c r="D16" i="1"/>
  <c r="B54" i="1" l="1"/>
  <c r="A53" i="1"/>
  <c r="G8" i="1"/>
  <c r="C54" i="1"/>
  <c r="B55" i="1" l="1"/>
  <c r="A54" i="1"/>
  <c r="C55" i="1"/>
  <c r="B56" i="1" l="1"/>
  <c r="A55" i="1"/>
  <c r="C56" i="1"/>
  <c r="B57" i="1" l="1"/>
  <c r="A56" i="1"/>
  <c r="C57" i="1"/>
  <c r="B58" i="1" l="1"/>
  <c r="A57" i="1"/>
  <c r="C58" i="1"/>
  <c r="B59" i="1" l="1"/>
  <c r="A58" i="1"/>
  <c r="C59" i="1"/>
  <c r="B60" i="1" l="1"/>
  <c r="A59" i="1"/>
  <c r="C60" i="1"/>
  <c r="B61" i="1" l="1"/>
  <c r="A60" i="1"/>
  <c r="C61" i="1"/>
  <c r="B62" i="1" l="1"/>
  <c r="A61" i="1"/>
  <c r="C62" i="1"/>
  <c r="B63" i="1" l="1"/>
  <c r="A62" i="1"/>
  <c r="C63" i="1"/>
  <c r="B64" i="1" l="1"/>
  <c r="A63" i="1"/>
  <c r="C64" i="1"/>
  <c r="B65" i="1" l="1"/>
  <c r="A64" i="1"/>
  <c r="C65" i="1"/>
  <c r="B66" i="1" l="1"/>
  <c r="A65" i="1"/>
  <c r="C66" i="1"/>
  <c r="B67" i="1" l="1"/>
  <c r="A66" i="1"/>
  <c r="C67" i="1"/>
  <c r="B68" i="1" l="1"/>
  <c r="A67" i="1"/>
  <c r="C68" i="1"/>
  <c r="B69" i="1" l="1"/>
  <c r="A68" i="1"/>
  <c r="C69" i="1"/>
  <c r="B70" i="1" l="1"/>
  <c r="A69" i="1"/>
  <c r="C70" i="1"/>
  <c r="B71" i="1" l="1"/>
  <c r="A70" i="1"/>
  <c r="C71" i="1"/>
  <c r="B72" i="1" l="1"/>
  <c r="A71" i="1"/>
  <c r="C72" i="1"/>
  <c r="B73" i="1" l="1"/>
  <c r="A72" i="1"/>
  <c r="C73" i="1"/>
  <c r="B74" i="1" l="1"/>
  <c r="A73" i="1"/>
  <c r="C74" i="1"/>
  <c r="B75" i="1" l="1"/>
  <c r="A74" i="1"/>
  <c r="C75" i="1"/>
  <c r="B76" i="1" l="1"/>
  <c r="A75" i="1"/>
  <c r="C76" i="1"/>
  <c r="B77" i="1" l="1"/>
  <c r="A76" i="1"/>
  <c r="C77" i="1"/>
  <c r="B78" i="1" l="1"/>
  <c r="A77" i="1"/>
  <c r="C78" i="1"/>
  <c r="B79" i="1" l="1"/>
  <c r="A78" i="1"/>
  <c r="C79" i="1"/>
  <c r="B80" i="1" l="1"/>
  <c r="A79" i="1"/>
  <c r="C80" i="1"/>
  <c r="B81" i="1" l="1"/>
  <c r="A80" i="1"/>
  <c r="C81" i="1"/>
  <c r="B82" i="1" l="1"/>
  <c r="A81" i="1"/>
  <c r="C82" i="1"/>
  <c r="B83" i="1" l="1"/>
  <c r="A82" i="1"/>
  <c r="C83" i="1"/>
  <c r="B84" i="1" l="1"/>
  <c r="A83" i="1"/>
  <c r="C84" i="1"/>
  <c r="B85" i="1" l="1"/>
  <c r="A84" i="1"/>
  <c r="C85" i="1"/>
  <c r="B86" i="1" l="1"/>
  <c r="A85" i="1"/>
  <c r="C86" i="1"/>
  <c r="B87" i="1" l="1"/>
  <c r="A86" i="1"/>
  <c r="C87" i="1"/>
  <c r="B88" i="1" l="1"/>
  <c r="A87" i="1"/>
  <c r="C88" i="1"/>
  <c r="B89" i="1" l="1"/>
  <c r="A88" i="1"/>
  <c r="C89" i="1"/>
  <c r="B90" i="1" l="1"/>
  <c r="A89" i="1"/>
  <c r="C90" i="1"/>
  <c r="B91" i="1" l="1"/>
  <c r="A90" i="1"/>
  <c r="C91" i="1"/>
  <c r="B92" i="1" l="1"/>
  <c r="A91" i="1"/>
  <c r="C92" i="1"/>
  <c r="B93" i="1" l="1"/>
  <c r="A92" i="1"/>
  <c r="C93" i="1"/>
  <c r="B94" i="1" l="1"/>
  <c r="A93" i="1"/>
  <c r="C94" i="1"/>
  <c r="B95" i="1" l="1"/>
  <c r="A94" i="1"/>
  <c r="C95" i="1"/>
  <c r="B96" i="1" l="1"/>
  <c r="A95" i="1"/>
  <c r="C96" i="1"/>
  <c r="B97" i="1" l="1"/>
  <c r="A96" i="1"/>
  <c r="C97" i="1"/>
  <c r="B98" i="1" l="1"/>
  <c r="A97" i="1"/>
  <c r="C98" i="1"/>
  <c r="B99" i="1" l="1"/>
  <c r="A98" i="1"/>
  <c r="C99" i="1"/>
  <c r="B100" i="1" l="1"/>
  <c r="A99" i="1"/>
  <c r="C100" i="1"/>
  <c r="B101" i="1" l="1"/>
  <c r="A100" i="1"/>
  <c r="C101" i="1"/>
  <c r="A101" i="1" l="1"/>
</calcChain>
</file>

<file path=xl/sharedStrings.xml><?xml version="1.0" encoding="utf-8"?>
<sst xmlns="http://schemas.openxmlformats.org/spreadsheetml/2006/main" count="62" uniqueCount="58">
  <si>
    <t>name</t>
  </si>
  <si>
    <t>a</t>
  </si>
  <si>
    <t>b</t>
  </si>
  <si>
    <t>avg_error</t>
  </si>
  <si>
    <t>RMS (dB)</t>
  </si>
  <si>
    <t>peak (dB)</t>
  </si>
  <si>
    <t>min RMS</t>
  </si>
  <si>
    <t>min peak</t>
  </si>
  <si>
    <t>min RMS, avg_ error = 0</t>
  </si>
  <si>
    <r>
      <t xml:space="preserve">min RMS,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 xml:space="preserve"> = 1</t>
    </r>
  </si>
  <si>
    <r>
      <t xml:space="preserve">min peak,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 xml:space="preserve"> = 1</t>
    </r>
  </si>
  <si>
    <t>1, 1/2</t>
  </si>
  <si>
    <t>1, 1/4</t>
  </si>
  <si>
    <t>1, 4/10</t>
  </si>
  <si>
    <t>1, 11/32</t>
  </si>
  <si>
    <t>1, 3/8</t>
  </si>
  <si>
    <t>15/16, 15/32</t>
  </si>
  <si>
    <t>15/16, 1/2</t>
  </si>
  <si>
    <t>31/32, 11/32</t>
  </si>
  <si>
    <t>61/64, 3/8</t>
  </si>
  <si>
    <t>61/64, 13/32</t>
  </si>
  <si>
    <t>31/32, 3/8</t>
  </si>
  <si>
    <t>avg</t>
  </si>
  <si>
    <t>RMS</t>
  </si>
  <si>
    <t>peak</t>
  </si>
  <si>
    <t xml:space="preserve">Alpha-Max-plus-Beta-Min algorithm </t>
  </si>
  <si>
    <t>Description:</t>
  </si>
  <si>
    <t>This is a little program to calculate the values of alpha and beta in the algorithm</t>
  </si>
  <si>
    <t xml:space="preserve">                               sqrt(I ^ 2 + Q ^ 2) ~ alpha * max(|I|, |Q|) + beta * min(|I|, |Q|)</t>
  </si>
  <si>
    <t>alpha-max-plus-beta-min:</t>
  </si>
  <si>
    <t>used to approximate the modulus of a complex number or vector</t>
  </si>
  <si>
    <t>with a negligible loss of precision. Also, the program calculate the average error,</t>
  </si>
  <si>
    <t>RMS error and peak error for any set of (alpha, beta) values.</t>
  </si>
  <si>
    <t>Author: Luis Jiménez</t>
  </si>
  <si>
    <t>Date: 2023 - August - 29</t>
  </si>
  <si>
    <t>Version of Excel: 2013</t>
  </si>
  <si>
    <r>
      <t>We need</t>
    </r>
    <r>
      <rPr>
        <b/>
        <sz val="11"/>
        <color theme="1"/>
        <rFont val="Calibri"/>
        <family val="2"/>
      </rPr>
      <t xml:space="preserve"> Solver® Add-in </t>
    </r>
    <r>
      <rPr>
        <sz val="11"/>
        <color theme="1"/>
        <rFont val="Calibri"/>
        <family val="2"/>
      </rPr>
      <t>tool installed in Excel (since that it is not installed by default, please activate first)</t>
    </r>
  </si>
  <si>
    <t>If you desire to see the source code, also enable DEVELOPER TAB in your Excel  options</t>
  </si>
  <si>
    <t>PLEASE ENABLE MACROS WHEN OPEN THE FILE</t>
  </si>
  <si>
    <t>a =</t>
  </si>
  <si>
    <t>b =</t>
  </si>
  <si>
    <t>RMS error =</t>
  </si>
  <si>
    <t>peak error =</t>
  </si>
  <si>
    <t>average error =</t>
  </si>
  <si>
    <t>dB</t>
  </si>
  <si>
    <r>
      <t xml:space="preserve">error as a function of 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Symbol"/>
        <family val="1"/>
        <charset val="2"/>
      </rPr>
      <t>b</t>
    </r>
  </si>
  <si>
    <t>Sample of calculation:</t>
  </si>
  <si>
    <r>
      <t>q [</t>
    </r>
    <r>
      <rPr>
        <sz val="11"/>
        <color theme="1"/>
        <rFont val="Calibri"/>
        <family val="2"/>
        <scheme val="minor"/>
      </rPr>
      <t>rad]</t>
    </r>
  </si>
  <si>
    <r>
      <t>q [</t>
    </r>
    <r>
      <rPr>
        <sz val="11"/>
        <color theme="1"/>
        <rFont val="Calibri"/>
        <family val="2"/>
        <scheme val="minor"/>
      </rPr>
      <t>degrees]</t>
    </r>
  </si>
  <si>
    <t>rad</t>
  </si>
  <si>
    <t>degrees</t>
  </si>
  <si>
    <t>zero error line</t>
  </si>
  <si>
    <t>error</t>
  </si>
  <si>
    <r>
      <t xml:space="preserve">angle </t>
    </r>
    <r>
      <rPr>
        <sz val="11"/>
        <color theme="1"/>
        <rFont val="Symbol"/>
        <family val="1"/>
        <charset val="2"/>
      </rPr>
      <t>q_</t>
    </r>
    <r>
      <rPr>
        <sz val="11"/>
        <color theme="1"/>
        <rFont val="Calibri"/>
        <family val="2"/>
      </rPr>
      <t>0 =</t>
    </r>
  </si>
  <si>
    <r>
      <t xml:space="preserve">angle 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</rPr>
      <t>_</t>
    </r>
    <r>
      <rPr>
        <sz val="11"/>
        <color theme="1"/>
        <rFont val="Calibri"/>
        <family val="2"/>
      </rPr>
      <t>0 =</t>
    </r>
  </si>
  <si>
    <t>error arrow</t>
  </si>
  <si>
    <t>error at theta = 0</t>
  </si>
  <si>
    <t>error at theta = pi/4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</si>
</sst>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000"/>
    <numFmt numFmtId="166" formatCode="0.0"/>
  </numFmts>
  <fonts count="10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sz val="11"/>
      <color theme="0" tint="-0.249977111117893"/>
      <name val="Calibri"/>
      <family val="2"/>
    </font>
    <font>
      <b/>
      <sz val="16"/>
      <color theme="1"/>
      <name val="Calibri"/>
      <family val="2"/>
    </font>
    <font>
      <b/>
      <sz val="16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5" fillId="3" borderId="0" xfId="0" applyFont="1" applyFill="1"/>
    <xf numFmtId="0" fontId="0" fillId="2" borderId="0" xfId="0" applyFont="1" applyFill="1" applyAlignment="1">
      <alignment horizontal="center"/>
    </xf>
    <xf numFmtId="0" fontId="6" fillId="2" borderId="0" xfId="0" applyFont="1" applyFill="1"/>
    <xf numFmtId="0" fontId="0" fillId="2" borderId="0" xfId="0" quotePrefix="1" applyFill="1"/>
    <xf numFmtId="0" fontId="1" fillId="2" borderId="0" xfId="0" applyFont="1" applyFill="1"/>
    <xf numFmtId="0" fontId="1" fillId="2" borderId="0" xfId="0" quotePrefix="1" applyFont="1" applyFill="1"/>
    <xf numFmtId="0" fontId="2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3" fillId="2" borderId="2" xfId="0" applyFont="1" applyFill="1" applyBorder="1" applyAlignment="1">
      <alignment horizontal="center"/>
    </xf>
    <xf numFmtId="0" fontId="0" fillId="2" borderId="0" xfId="0" applyFill="1" applyBorder="1"/>
    <xf numFmtId="0" fontId="7" fillId="2" borderId="0" xfId="0" applyFont="1" applyFill="1" applyAlignment="1">
      <alignment horizontal="right"/>
    </xf>
    <xf numFmtId="0" fontId="6" fillId="4" borderId="3" xfId="0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4" fontId="5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error fun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alpha_max_plus_beta_min!$A$51:$A$101</c:f>
              <c:numCache>
                <c:formatCode>0.0</c:formatCode>
                <c:ptCount val="51"/>
                <c:pt idx="0">
                  <c:v>0</c:v>
                </c:pt>
                <c:pt idx="1">
                  <c:v>0.9</c:v>
                </c:pt>
                <c:pt idx="2">
                  <c:v>1.8</c:v>
                </c:pt>
                <c:pt idx="3">
                  <c:v>2.7</c:v>
                </c:pt>
                <c:pt idx="4">
                  <c:v>3.6</c:v>
                </c:pt>
                <c:pt idx="5">
                  <c:v>4.5</c:v>
                </c:pt>
                <c:pt idx="6">
                  <c:v>5.3999999999999995</c:v>
                </c:pt>
                <c:pt idx="7">
                  <c:v>6.2999999999999989</c:v>
                </c:pt>
                <c:pt idx="8">
                  <c:v>7.1999999999999993</c:v>
                </c:pt>
                <c:pt idx="9">
                  <c:v>8.0999999999999979</c:v>
                </c:pt>
                <c:pt idx="10">
                  <c:v>8.9999999999999982</c:v>
                </c:pt>
                <c:pt idx="11">
                  <c:v>9.8999999999999986</c:v>
                </c:pt>
                <c:pt idx="12">
                  <c:v>10.799999999999997</c:v>
                </c:pt>
                <c:pt idx="13">
                  <c:v>11.699999999999998</c:v>
                </c:pt>
                <c:pt idx="14">
                  <c:v>12.599999999999998</c:v>
                </c:pt>
                <c:pt idx="15">
                  <c:v>13.499999999999996</c:v>
                </c:pt>
                <c:pt idx="16">
                  <c:v>14.399999999999999</c:v>
                </c:pt>
                <c:pt idx="17">
                  <c:v>15.299999999999999</c:v>
                </c:pt>
                <c:pt idx="18">
                  <c:v>16.2</c:v>
                </c:pt>
                <c:pt idx="19">
                  <c:v>17.100000000000001</c:v>
                </c:pt>
                <c:pt idx="20">
                  <c:v>18.000000000000004</c:v>
                </c:pt>
                <c:pt idx="21">
                  <c:v>18.900000000000006</c:v>
                </c:pt>
                <c:pt idx="22">
                  <c:v>19.800000000000004</c:v>
                </c:pt>
                <c:pt idx="23">
                  <c:v>20.700000000000006</c:v>
                </c:pt>
                <c:pt idx="24">
                  <c:v>21.600000000000009</c:v>
                </c:pt>
                <c:pt idx="25">
                  <c:v>22.500000000000011</c:v>
                </c:pt>
                <c:pt idx="26">
                  <c:v>23.400000000000009</c:v>
                </c:pt>
                <c:pt idx="27">
                  <c:v>24.300000000000011</c:v>
                </c:pt>
                <c:pt idx="28">
                  <c:v>25.200000000000014</c:v>
                </c:pt>
                <c:pt idx="29">
                  <c:v>26.100000000000016</c:v>
                </c:pt>
                <c:pt idx="30">
                  <c:v>27.000000000000014</c:v>
                </c:pt>
                <c:pt idx="31">
                  <c:v>27.900000000000016</c:v>
                </c:pt>
                <c:pt idx="32">
                  <c:v>28.800000000000015</c:v>
                </c:pt>
                <c:pt idx="33">
                  <c:v>29.700000000000017</c:v>
                </c:pt>
                <c:pt idx="34">
                  <c:v>30.600000000000019</c:v>
                </c:pt>
                <c:pt idx="35">
                  <c:v>31.500000000000018</c:v>
                </c:pt>
                <c:pt idx="36">
                  <c:v>32.40000000000002</c:v>
                </c:pt>
                <c:pt idx="37">
                  <c:v>33.300000000000018</c:v>
                </c:pt>
                <c:pt idx="38">
                  <c:v>34.200000000000024</c:v>
                </c:pt>
                <c:pt idx="39">
                  <c:v>35.100000000000023</c:v>
                </c:pt>
                <c:pt idx="40">
                  <c:v>36.000000000000028</c:v>
                </c:pt>
                <c:pt idx="41">
                  <c:v>36.900000000000027</c:v>
                </c:pt>
                <c:pt idx="42">
                  <c:v>37.800000000000026</c:v>
                </c:pt>
                <c:pt idx="43">
                  <c:v>38.700000000000031</c:v>
                </c:pt>
                <c:pt idx="44">
                  <c:v>39.60000000000003</c:v>
                </c:pt>
                <c:pt idx="45">
                  <c:v>40.500000000000028</c:v>
                </c:pt>
                <c:pt idx="46">
                  <c:v>41.400000000000034</c:v>
                </c:pt>
                <c:pt idx="47">
                  <c:v>42.300000000000033</c:v>
                </c:pt>
                <c:pt idx="48">
                  <c:v>43.200000000000038</c:v>
                </c:pt>
                <c:pt idx="49">
                  <c:v>44.100000000000037</c:v>
                </c:pt>
                <c:pt idx="50">
                  <c:v>45.000000000000036</c:v>
                </c:pt>
              </c:numCache>
            </c:numRef>
          </c:xVal>
          <c:yVal>
            <c:numRef>
              <c:f>alpha_max_plus_beta_min!$C$51:$C$101</c:f>
              <c:numCache>
                <c:formatCode>General</c:formatCode>
                <c:ptCount val="51"/>
                <c:pt idx="0">
                  <c:v>4.0000000000000036E-2</c:v>
                </c:pt>
                <c:pt idx="1">
                  <c:v>3.38355058928776E-2</c:v>
                </c:pt>
                <c:pt idx="2">
                  <c:v>2.7909398417646381E-2</c:v>
                </c:pt>
                <c:pt idx="3">
                  <c:v>2.2223139752651753E-2</c:v>
                </c:pt>
                <c:pt idx="4">
                  <c:v>1.6778132897133986E-2</c:v>
                </c:pt>
                <c:pt idx="5">
                  <c:v>1.1575721325059211E-2</c:v>
                </c:pt>
                <c:pt idx="6">
                  <c:v>6.6171886536375126E-3</c:v>
                </c:pt>
                <c:pt idx="7">
                  <c:v>1.9037583266094122E-3</c:v>
                </c:pt>
                <c:pt idx="8">
                  <c:v>-2.5634066876204205E-3</c:v>
                </c:pt>
                <c:pt idx="9">
                  <c:v>-6.7832041829282586E-3</c:v>
                </c:pt>
                <c:pt idx="10">
                  <c:v>-1.0754592987424564E-2</c:v>
                </c:pt>
                <c:pt idx="11">
                  <c:v>-1.4476593220346787E-2</c:v>
                </c:pt>
                <c:pt idx="12">
                  <c:v>-1.794828653383097E-2</c:v>
                </c:pt>
                <c:pt idx="13">
                  <c:v>-2.1168816339500064E-2</c:v>
                </c:pt>
                <c:pt idx="14">
                  <c:v>-2.413738801981451E-2</c:v>
                </c:pt>
                <c:pt idx="15">
                  <c:v>-2.6853269124131707E-2</c:v>
                </c:pt>
                <c:pt idx="16">
                  <c:v>-2.9315789549427807E-2</c:v>
                </c:pt>
                <c:pt idx="17">
                  <c:v>-3.152434170563527E-2</c:v>
                </c:pt>
                <c:pt idx="18">
                  <c:v>-3.3478380665557021E-2</c:v>
                </c:pt>
                <c:pt idx="19">
                  <c:v>-3.5177424299318485E-2</c:v>
                </c:pt>
                <c:pt idx="20">
                  <c:v>-3.6621053393326344E-2</c:v>
                </c:pt>
                <c:pt idx="21">
                  <c:v>-3.7808911753703239E-2</c:v>
                </c:pt>
                <c:pt idx="22">
                  <c:v>-3.8740706294173005E-2</c:v>
                </c:pt>
                <c:pt idx="23">
                  <c:v>-3.9416207108375428E-2</c:v>
                </c:pt>
                <c:pt idx="24">
                  <c:v>-3.9835247526592503E-2</c:v>
                </c:pt>
                <c:pt idx="25">
                  <c:v>-3.9997724156871202E-2</c:v>
                </c:pt>
                <c:pt idx="26">
                  <c:v>-3.9903596910534078E-2</c:v>
                </c:pt>
                <c:pt idx="27">
                  <c:v>-3.9552889012070921E-2</c:v>
                </c:pt>
                <c:pt idx="28">
                  <c:v>-3.8945686993407794E-2</c:v>
                </c:pt>
                <c:pt idx="29">
                  <c:v>-3.8082140672557038E-2</c:v>
                </c:pt>
                <c:pt idx="30">
                  <c:v>-3.6962463116651863E-2</c:v>
                </c:pt>
                <c:pt idx="31">
                  <c:v>-3.558693058937494E-2</c:v>
                </c:pt>
                <c:pt idx="32">
                  <c:v>-3.3955882482795109E-2</c:v>
                </c:pt>
                <c:pt idx="33">
                  <c:v>-3.206972123362653E-2</c:v>
                </c:pt>
                <c:pt idx="34">
                  <c:v>-2.9928912223934387E-2</c:v>
                </c:pt>
                <c:pt idx="35">
                  <c:v>-2.7533983666308017E-2</c:v>
                </c:pt>
                <c:pt idx="36">
                  <c:v>-2.4885526473532992E-2</c:v>
                </c:pt>
                <c:pt idx="37">
                  <c:v>-2.1984194112792038E-2</c:v>
                </c:pt>
                <c:pt idx="38">
                  <c:v>-1.8830702444431493E-2</c:v>
                </c:pt>
                <c:pt idx="39">
                  <c:v>-1.5425829545333799E-2</c:v>
                </c:pt>
                <c:pt idx="40">
                  <c:v>-1.1770415516938712E-2</c:v>
                </c:pt>
                <c:pt idx="41">
                  <c:v>-7.8653622779603638E-3</c:v>
                </c:pt>
                <c:pt idx="42">
                  <c:v>-3.7116333418531901E-3</c:v>
                </c:pt>
                <c:pt idx="43">
                  <c:v>6.8974642092151377E-4</c:v>
                </c:pt>
                <c:pt idx="44">
                  <c:v>5.3376910357666183E-3</c:v>
                </c:pt>
                <c:pt idx="45">
                  <c:v>1.0231053691896998E-2</c:v>
                </c:pt>
                <c:pt idx="46">
                  <c:v>1.5368627025298322E-2</c:v>
                </c:pt>
                <c:pt idx="47">
                  <c:v>2.0749143416625534E-2</c:v>
                </c:pt>
                <c:pt idx="48">
                  <c:v>2.6371275303969724E-2</c:v>
                </c:pt>
                <c:pt idx="49">
                  <c:v>3.2233635510413271E-2</c:v>
                </c:pt>
                <c:pt idx="50">
                  <c:v>3.8334777586295561E-2</c:v>
                </c:pt>
              </c:numCache>
            </c:numRef>
          </c:yVal>
          <c:smooth val="1"/>
        </c:ser>
        <c:ser>
          <c:idx val="1"/>
          <c:order val="1"/>
          <c:tx>
            <c:v>zero error line</c:v>
          </c:tx>
          <c:spPr>
            <a:ln w="15875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alpha_max_plus_beta_min!$G$56:$G$57</c:f>
              <c:numCache>
                <c:formatCode>General</c:formatCode>
                <c:ptCount val="2"/>
                <c:pt idx="0">
                  <c:v>0</c:v>
                </c:pt>
                <c:pt idx="1">
                  <c:v>45</c:v>
                </c:pt>
              </c:numCache>
            </c:numRef>
          </c:xVal>
          <c:yVal>
            <c:numRef>
              <c:f>alpha_max_plus_beta_min!$H$56:$H$57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peak error arrow</c:v>
          </c:tx>
          <c:spPr>
            <a:ln w="31750" cap="rnd">
              <a:solidFill>
                <a:srgbClr val="FF0000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alpha_max_plus_beta_min!$G$60:$G$61</c:f>
              <c:numCache>
                <c:formatCode>0.000</c:formatCode>
                <c:ptCount val="2"/>
                <c:pt idx="0">
                  <c:v>22.61986494804043</c:v>
                </c:pt>
                <c:pt idx="1">
                  <c:v>22.61986494804043</c:v>
                </c:pt>
              </c:numCache>
            </c:numRef>
          </c:xVal>
          <c:yVal>
            <c:numRef>
              <c:f>alpha_max_plus_beta_min!$H$60:$H$61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-3.9999999999999952E-2</c:v>
                </c:pt>
              </c:numCache>
            </c:numRef>
          </c:yVal>
          <c:smooth val="1"/>
        </c:ser>
        <c:ser>
          <c:idx val="3"/>
          <c:order val="3"/>
          <c:tx>
            <c:v>error at theta = 0</c:v>
          </c:tx>
          <c:spPr>
            <a:ln w="31750" cap="rnd">
              <a:solidFill>
                <a:srgbClr val="FF0000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alpha_max_plus_beta_min!$G$64:$G$65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alpha_max_plus_beta_min!$H$64:$H$65</c:f>
              <c:numCache>
                <c:formatCode>General</c:formatCode>
                <c:ptCount val="2"/>
                <c:pt idx="0">
                  <c:v>0</c:v>
                </c:pt>
                <c:pt idx="1">
                  <c:v>4.0000000000000036E-2</c:v>
                </c:pt>
              </c:numCache>
            </c:numRef>
          </c:yVal>
          <c:smooth val="1"/>
        </c:ser>
        <c:ser>
          <c:idx val="4"/>
          <c:order val="4"/>
          <c:tx>
            <c:v>error at theta = pi/4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>
                <a:solidFill>
                  <a:srgbClr val="FF0000"/>
                </a:solidFill>
                <a:round/>
                <a:tailEnd type="triangle"/>
              </a:ln>
              <a:effectLst/>
            </c:spPr>
          </c:dPt>
          <c:xVal>
            <c:numRef>
              <c:f>alpha_max_plus_beta_min!$G$68:$G$69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alpha_max_plus_beta_min!$H$68:$H$69</c:f>
              <c:numCache>
                <c:formatCode>General</c:formatCode>
                <c:ptCount val="2"/>
                <c:pt idx="0">
                  <c:v>0</c:v>
                </c:pt>
                <c:pt idx="1">
                  <c:v>3.8334777586295353E-2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333872"/>
        <c:axId val="872334416"/>
      </c:scatterChart>
      <c:valAx>
        <c:axId val="872333872"/>
        <c:scaling>
          <c:orientation val="minMax"/>
          <c:max val="4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100">
                    <a:solidFill>
                      <a:sysClr val="windowText" lastClr="000000"/>
                    </a:solidFill>
                  </a:rPr>
                  <a:t>Angle</a:t>
                </a:r>
                <a:r>
                  <a:rPr lang="es-ES" sz="1100" baseline="0">
                    <a:solidFill>
                      <a:sysClr val="windowText" lastClr="000000"/>
                    </a:solidFill>
                  </a:rPr>
                  <a:t>, </a:t>
                </a:r>
                <a:r>
                  <a:rPr lang="es-ES" sz="1100" baseline="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</a:t>
                </a:r>
                <a:r>
                  <a:rPr lang="es-ES" sz="1100" baseline="0">
                    <a:solidFill>
                      <a:sysClr val="windowText" lastClr="000000"/>
                    </a:solidFill>
                  </a:rPr>
                  <a:t> [degrees]</a:t>
                </a:r>
                <a:endParaRPr lang="es-ES" sz="1100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72334416"/>
        <c:crossesAt val="-0.2"/>
        <c:crossBetween val="midCat"/>
      </c:valAx>
      <c:valAx>
        <c:axId val="872334416"/>
        <c:scaling>
          <c:orientation val="minMax"/>
          <c:max val="0.2"/>
          <c:min val="-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100" b="0">
                    <a:solidFill>
                      <a:sysClr val="windowText" lastClr="000000"/>
                    </a:solidFill>
                  </a:rPr>
                  <a:t>Error</a:t>
                </a:r>
                <a:r>
                  <a:rPr lang="es-ES" sz="1100" b="0" baseline="0">
                    <a:solidFill>
                      <a:sysClr val="windowText" lastClr="000000"/>
                    </a:solidFill>
                  </a:rPr>
                  <a:t> = 1 - </a:t>
                </a:r>
                <a:r>
                  <a:rPr lang="es-ES" sz="1100" b="0" baseline="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 </a:t>
                </a:r>
                <a:r>
                  <a:rPr lang="es-ES" sz="1100" b="0" baseline="0">
                    <a:solidFill>
                      <a:sysClr val="windowText" lastClr="000000"/>
                    </a:solidFill>
                  </a:rPr>
                  <a:t>cos(</a:t>
                </a:r>
                <a:r>
                  <a:rPr lang="es-ES" sz="1100" b="0" baseline="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</a:t>
                </a:r>
                <a:r>
                  <a:rPr lang="es-ES" sz="1100" b="0" baseline="0">
                    <a:solidFill>
                      <a:sysClr val="windowText" lastClr="000000"/>
                    </a:solidFill>
                  </a:rPr>
                  <a:t>) - </a:t>
                </a:r>
                <a:r>
                  <a:rPr lang="es-ES" sz="1100" b="0" baseline="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 </a:t>
                </a:r>
                <a:r>
                  <a:rPr lang="es-ES" sz="1100" b="0" baseline="0">
                    <a:solidFill>
                      <a:sysClr val="windowText" lastClr="000000"/>
                    </a:solidFill>
                  </a:rPr>
                  <a:t>sin(</a:t>
                </a:r>
                <a:r>
                  <a:rPr lang="es-ES" sz="1100" b="0" baseline="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</a:t>
                </a:r>
                <a:r>
                  <a:rPr lang="es-ES" sz="1100" b="0" baseline="0">
                    <a:solidFill>
                      <a:sysClr val="windowText" lastClr="000000"/>
                    </a:solidFill>
                  </a:rPr>
                  <a:t>)</a:t>
                </a:r>
                <a:endParaRPr lang="es-ES" sz="1100" b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9444444444444445E-2"/>
              <c:y val="0.111367381160688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72333872"/>
        <c:crossesAt val="0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</xdr:row>
          <xdr:rowOff>95250</xdr:rowOff>
        </xdr:from>
        <xdr:to>
          <xdr:col>2</xdr:col>
          <xdr:colOff>847725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95250</xdr:rowOff>
        </xdr:from>
        <xdr:to>
          <xdr:col>4</xdr:col>
          <xdr:colOff>57150</xdr:colOff>
          <xdr:row>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161925</xdr:colOff>
      <xdr:row>45</xdr:row>
      <xdr:rowOff>85725</xdr:rowOff>
    </xdr:from>
    <xdr:to>
      <xdr:col>12</xdr:col>
      <xdr:colOff>161925</xdr:colOff>
      <xdr:row>59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101"/>
  <sheetViews>
    <sheetView tabSelected="1" workbookViewId="0"/>
  </sheetViews>
  <sheetFormatPr baseColWidth="10" defaultRowHeight="15" x14ac:dyDescent="0.25"/>
  <cols>
    <col min="1" max="1" width="25.5703125" style="5" customWidth="1"/>
    <col min="2" max="2" width="15.5703125" style="5" customWidth="1"/>
    <col min="3" max="3" width="13.85546875" style="5" customWidth="1"/>
    <col min="4" max="4" width="16.7109375" style="5" customWidth="1"/>
    <col min="5" max="5" width="13.140625" style="5" customWidth="1"/>
    <col min="6" max="6" width="15.140625" style="5" customWidth="1"/>
    <col min="7" max="16384" width="11.42578125" style="5"/>
  </cols>
  <sheetData>
    <row r="1" spans="1:7" ht="33" customHeight="1" x14ac:dyDescent="0.35">
      <c r="A1" s="20" t="s">
        <v>25</v>
      </c>
      <c r="B1" s="1"/>
      <c r="C1" s="1"/>
      <c r="D1" s="1"/>
      <c r="E1" s="1"/>
      <c r="F1" s="1"/>
    </row>
    <row r="2" spans="1:7" ht="17.25" customHeight="1" x14ac:dyDescent="0.25">
      <c r="A2" s="1"/>
      <c r="B2" s="1"/>
      <c r="C2" s="1"/>
      <c r="D2" s="1"/>
      <c r="E2" s="1"/>
      <c r="F2" s="1"/>
    </row>
    <row r="3" spans="1:7" ht="18" customHeight="1" x14ac:dyDescent="0.25">
      <c r="A3" s="1"/>
      <c r="B3" s="1"/>
      <c r="C3" s="1"/>
      <c r="D3" s="1"/>
      <c r="E3" s="1"/>
      <c r="F3" s="1"/>
    </row>
    <row r="4" spans="1:7" x14ac:dyDescent="0.25">
      <c r="A4" s="1"/>
      <c r="B4" s="1"/>
      <c r="C4" s="1"/>
      <c r="D4" s="14" t="s">
        <v>22</v>
      </c>
      <c r="E4" s="14" t="s">
        <v>23</v>
      </c>
      <c r="F4" s="14" t="s">
        <v>24</v>
      </c>
    </row>
    <row r="5" spans="1:7" x14ac:dyDescent="0.25">
      <c r="A5" s="6" t="s">
        <v>0</v>
      </c>
      <c r="B5" s="7" t="s">
        <v>1</v>
      </c>
      <c r="C5" s="7" t="s">
        <v>2</v>
      </c>
      <c r="D5" s="6" t="s">
        <v>3</v>
      </c>
      <c r="E5" s="6" t="s">
        <v>4</v>
      </c>
      <c r="F5" s="6" t="s">
        <v>5</v>
      </c>
    </row>
    <row r="6" spans="1:7" x14ac:dyDescent="0.25">
      <c r="A6" s="2" t="s">
        <v>6</v>
      </c>
      <c r="B6" s="19">
        <v>0.94754135678115092</v>
      </c>
      <c r="C6" s="19">
        <v>0.39248888650065583</v>
      </c>
      <c r="D6" s="15">
        <f>error_function($B6,$C6,D$4)</f>
        <v>5.448335208702072E-4</v>
      </c>
      <c r="E6" s="3">
        <f t="shared" ref="E6:F21" si="0">error_function($B6,$C6,E$4)</f>
        <v>-32.643435552037026</v>
      </c>
      <c r="F6" s="3">
        <f t="shared" si="0"/>
        <v>-25.603658922334944</v>
      </c>
    </row>
    <row r="7" spans="1:7" x14ac:dyDescent="0.25">
      <c r="A7" s="2" t="s">
        <v>7</v>
      </c>
      <c r="B7" s="19">
        <v>0.9604367759748027</v>
      </c>
      <c r="C7" s="19">
        <v>0.39782069519399016</v>
      </c>
      <c r="D7" s="15">
        <f t="shared" ref="D7:D21" si="1">error_function($B7,$C7,D$4)</f>
        <v>-1.3053478094946756E-2</v>
      </c>
      <c r="E7" s="3">
        <f t="shared" si="0"/>
        <v>-31.372330909632609</v>
      </c>
      <c r="F7" s="3">
        <f t="shared" si="0"/>
        <v>-28.053278552870477</v>
      </c>
    </row>
    <row r="8" spans="1:7" x14ac:dyDescent="0.25">
      <c r="A8" s="2" t="s">
        <v>8</v>
      </c>
      <c r="B8" s="19">
        <v>0.9480593377926777</v>
      </c>
      <c r="C8" s="19">
        <v>0.39269935747926105</v>
      </c>
      <c r="D8" s="15">
        <f t="shared" si="1"/>
        <v>-2.7521306759231694E-9</v>
      </c>
      <c r="E8" s="3">
        <f t="shared" si="0"/>
        <v>-32.64107202125691</v>
      </c>
      <c r="F8" s="3">
        <f t="shared" si="0"/>
        <v>-25.689850354375892</v>
      </c>
      <c r="G8" s="18">
        <f>10000000000*D8</f>
        <v>-27.521306759231695</v>
      </c>
    </row>
    <row r="9" spans="1:7" x14ac:dyDescent="0.25">
      <c r="A9" s="2" t="s">
        <v>9</v>
      </c>
      <c r="B9" s="19">
        <v>1</v>
      </c>
      <c r="C9" s="19">
        <v>0.30058510762934754</v>
      </c>
      <c r="D9" s="15">
        <f>error_function($B9,$C9,D$4)</f>
        <v>-1.2411484957319488E-2</v>
      </c>
      <c r="E9" s="3">
        <f t="shared" si="0"/>
        <v>-28.991828169573992</v>
      </c>
      <c r="F9" s="3">
        <f t="shared" si="0"/>
        <v>-21.900557943443147</v>
      </c>
    </row>
    <row r="10" spans="1:7" x14ac:dyDescent="0.25">
      <c r="A10" s="2" t="s">
        <v>10</v>
      </c>
      <c r="B10" s="19">
        <v>1</v>
      </c>
      <c r="C10" s="19">
        <v>0.33635760775354473</v>
      </c>
      <c r="D10" s="15">
        <f t="shared" si="1"/>
        <v>-2.5751881197951864E-2</v>
      </c>
      <c r="E10" s="3">
        <f t="shared" si="0"/>
        <v>-28.257074901125428</v>
      </c>
      <c r="F10" s="3">
        <f t="shared" si="0"/>
        <v>-25.18440954979198</v>
      </c>
    </row>
    <row r="11" spans="1:7" x14ac:dyDescent="0.25">
      <c r="A11" s="2" t="s">
        <v>11</v>
      </c>
      <c r="B11" s="2">
        <v>1</v>
      </c>
      <c r="C11" s="2">
        <v>0.5</v>
      </c>
      <c r="D11" s="15">
        <f>error_function($B11,$C11,D$4)</f>
        <v>-8.6777930446772469E-2</v>
      </c>
      <c r="E11" s="3">
        <f>error_function($B11,$C11,E$4)</f>
        <v>-20.71274458350468</v>
      </c>
      <c r="F11" s="3">
        <f>error_function($B11,$C11,F$4)</f>
        <v>-18.559858328278342</v>
      </c>
    </row>
    <row r="12" spans="1:7" x14ac:dyDescent="0.25">
      <c r="A12" s="4" t="s">
        <v>12</v>
      </c>
      <c r="B12" s="2">
        <v>1</v>
      </c>
      <c r="C12" s="2">
        <v>0.25</v>
      </c>
      <c r="D12" s="15">
        <f t="shared" si="1"/>
        <v>6.4528766977963569E-3</v>
      </c>
      <c r="E12" s="3">
        <f t="shared" si="0"/>
        <v>-27.629051669561228</v>
      </c>
      <c r="F12" s="3">
        <f>error_function($B12,$C12,F$4)</f>
        <v>-18.702119505044426</v>
      </c>
    </row>
    <row r="13" spans="1:7" x14ac:dyDescent="0.25">
      <c r="A13" s="4" t="s">
        <v>13</v>
      </c>
      <c r="B13" s="2">
        <v>1</v>
      </c>
      <c r="C13" s="2">
        <v>0.4</v>
      </c>
      <c r="D13" s="15">
        <f>error_function($B13,$C13,D$4)</f>
        <v>-4.9485607588944977E-2</v>
      </c>
      <c r="E13" s="3">
        <f t="shared" si="0"/>
        <v>-25.147048214768564</v>
      </c>
      <c r="F13" s="3">
        <f t="shared" si="0"/>
        <v>-22.266468119203424</v>
      </c>
    </row>
    <row r="14" spans="1:7" x14ac:dyDescent="0.25">
      <c r="A14" s="4" t="s">
        <v>14</v>
      </c>
      <c r="B14" s="2">
        <v>1</v>
      </c>
      <c r="C14" s="2">
        <f>11/32</f>
        <v>0.34375</v>
      </c>
      <c r="D14" s="15">
        <f t="shared" si="1"/>
        <v>-2.8508675981416993E-2</v>
      </c>
      <c r="E14" s="3">
        <f t="shared" si="0"/>
        <v>-27.959280796777144</v>
      </c>
      <c r="F14" s="3">
        <f t="shared" si="0"/>
        <v>-24.816804781921714</v>
      </c>
    </row>
    <row r="15" spans="1:7" x14ac:dyDescent="0.25">
      <c r="A15" s="4" t="s">
        <v>15</v>
      </c>
      <c r="B15" s="2">
        <v>1</v>
      </c>
      <c r="C15" s="2">
        <f>3/8</f>
        <v>0.375</v>
      </c>
      <c r="D15" s="15">
        <f t="shared" si="1"/>
        <v>-4.0162526874488097E-2</v>
      </c>
      <c r="E15" s="3">
        <f t="shared" si="0"/>
        <v>-26.444681547245214</v>
      </c>
      <c r="F15" s="3">
        <f t="shared" si="0"/>
        <v>-23.349761945686407</v>
      </c>
    </row>
    <row r="16" spans="1:7" x14ac:dyDescent="0.25">
      <c r="A16" s="4" t="s">
        <v>16</v>
      </c>
      <c r="B16" s="2">
        <f>15/16</f>
        <v>0.9375</v>
      </c>
      <c r="C16" s="2">
        <f>15/32</f>
        <v>0.46875</v>
      </c>
      <c r="D16" s="15">
        <f t="shared" si="1"/>
        <v>-1.8854309793849253E-2</v>
      </c>
      <c r="E16" s="3">
        <f t="shared" si="0"/>
        <v>-29.223609276277536</v>
      </c>
      <c r="F16" s="3">
        <f t="shared" si="0"/>
        <v>-24.082399653118493</v>
      </c>
    </row>
    <row r="17" spans="1:6" x14ac:dyDescent="0.25">
      <c r="A17" s="8" t="s">
        <v>17</v>
      </c>
      <c r="B17" s="9">
        <f>15/16</f>
        <v>0.9375</v>
      </c>
      <c r="C17" s="9">
        <f>1/2</f>
        <v>0.5</v>
      </c>
      <c r="D17" s="16">
        <f t="shared" si="1"/>
        <v>-3.0508160686920364E-2</v>
      </c>
      <c r="E17" s="10">
        <f t="shared" si="0"/>
        <v>-26.904978435737899</v>
      </c>
      <c r="F17" s="10">
        <f t="shared" si="0"/>
        <v>-24.082399653118493</v>
      </c>
    </row>
    <row r="18" spans="1:6" x14ac:dyDescent="0.25">
      <c r="A18" s="8" t="s">
        <v>18</v>
      </c>
      <c r="B18" s="9">
        <f>31/32</f>
        <v>0.96875</v>
      </c>
      <c r="C18" s="9">
        <f>11/32</f>
        <v>0.34375</v>
      </c>
      <c r="D18" s="16">
        <f t="shared" si="1"/>
        <v>-3.737911014908891E-4</v>
      </c>
      <c r="E18" s="10">
        <f t="shared" si="0"/>
        <v>-31.638870039966907</v>
      </c>
      <c r="F18" s="10">
        <f t="shared" si="0"/>
        <v>-22.862722654115704</v>
      </c>
    </row>
    <row r="19" spans="1:6" x14ac:dyDescent="0.25">
      <c r="A19" s="8" t="s">
        <v>21</v>
      </c>
      <c r="B19" s="9">
        <f>31/32</f>
        <v>0.96875</v>
      </c>
      <c r="C19" s="9">
        <f>3/8</f>
        <v>0.375</v>
      </c>
      <c r="D19" s="16">
        <f t="shared" si="1"/>
        <v>-1.2027641994562004E-2</v>
      </c>
      <c r="E19" s="10">
        <f t="shared" si="0"/>
        <v>-31.357476760559042</v>
      </c>
      <c r="F19" s="10">
        <f t="shared" si="0"/>
        <v>-26.051008042673534</v>
      </c>
    </row>
    <row r="20" spans="1:6" x14ac:dyDescent="0.25">
      <c r="A20" s="8" t="s">
        <v>19</v>
      </c>
      <c r="B20" s="9">
        <f>61/64</f>
        <v>0.953125</v>
      </c>
      <c r="C20" s="9">
        <f>3/8</f>
        <v>0.375</v>
      </c>
      <c r="D20" s="16">
        <f t="shared" si="1"/>
        <v>2.0398004454010429E-3</v>
      </c>
      <c r="E20" s="10">
        <f t="shared" si="0"/>
        <v>-32.495036468403299</v>
      </c>
      <c r="F20" s="10">
        <f t="shared" si="0"/>
        <v>-24.311390848173229</v>
      </c>
    </row>
    <row r="21" spans="1:6" x14ac:dyDescent="0.25">
      <c r="A21" s="11" t="s">
        <v>20</v>
      </c>
      <c r="B21" s="12">
        <f>61/64</f>
        <v>0.953125</v>
      </c>
      <c r="C21" s="12">
        <f>13/32</f>
        <v>0.40625</v>
      </c>
      <c r="D21" s="17">
        <f t="shared" si="1"/>
        <v>-9.6140504476700597E-3</v>
      </c>
      <c r="E21" s="13">
        <f t="shared" si="0"/>
        <v>-31.851561317917263</v>
      </c>
      <c r="F21" s="13">
        <f t="shared" si="0"/>
        <v>-26.581174385284495</v>
      </c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22" t="s">
        <v>26</v>
      </c>
      <c r="B23" s="1"/>
      <c r="C23" s="1"/>
      <c r="D23" s="1"/>
      <c r="E23" s="1"/>
      <c r="F23" s="1"/>
    </row>
    <row r="24" spans="1:6" x14ac:dyDescent="0.25">
      <c r="A24" s="1" t="s">
        <v>27</v>
      </c>
      <c r="B24" s="1"/>
      <c r="C24" s="1"/>
      <c r="D24" s="1"/>
      <c r="E24" s="1"/>
      <c r="F24" s="1"/>
    </row>
    <row r="25" spans="1:6" x14ac:dyDescent="0.25">
      <c r="A25" s="1" t="s">
        <v>29</v>
      </c>
      <c r="B25" s="1"/>
      <c r="C25" s="1"/>
      <c r="D25" s="1"/>
      <c r="E25" s="1"/>
      <c r="F25" s="1"/>
    </row>
    <row r="26" spans="1:6" x14ac:dyDescent="0.25">
      <c r="A26" s="23" t="s">
        <v>28</v>
      </c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 t="s">
        <v>30</v>
      </c>
      <c r="B28" s="1"/>
      <c r="C28" s="1"/>
      <c r="D28" s="1"/>
      <c r="E28" s="1"/>
      <c r="F28" s="1"/>
    </row>
    <row r="29" spans="1:6" x14ac:dyDescent="0.25">
      <c r="A29" s="21" t="s">
        <v>31</v>
      </c>
      <c r="B29" s="1"/>
      <c r="C29" s="1"/>
      <c r="D29" s="1"/>
      <c r="E29" s="1"/>
      <c r="F29" s="1"/>
    </row>
    <row r="30" spans="1:6" x14ac:dyDescent="0.25">
      <c r="A30" s="1" t="s">
        <v>32</v>
      </c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21" t="s">
        <v>33</v>
      </c>
      <c r="B32" s="1"/>
      <c r="C32" s="1"/>
      <c r="D32" s="1"/>
      <c r="E32" s="1"/>
      <c r="F32" s="1"/>
    </row>
    <row r="33" spans="1:6" x14ac:dyDescent="0.25">
      <c r="A33" s="21" t="s">
        <v>34</v>
      </c>
      <c r="B33" s="1"/>
      <c r="C33" s="1"/>
      <c r="D33" s="1"/>
      <c r="E33" s="1"/>
      <c r="F33" s="1"/>
    </row>
    <row r="34" spans="1:6" x14ac:dyDescent="0.25">
      <c r="A34" s="1" t="s">
        <v>35</v>
      </c>
      <c r="B34" s="1"/>
      <c r="C34" s="1"/>
      <c r="D34" s="1"/>
      <c r="E34" s="1"/>
      <c r="F34" s="1"/>
    </row>
    <row r="35" spans="1:6" x14ac:dyDescent="0.25">
      <c r="A35" s="1" t="s">
        <v>36</v>
      </c>
      <c r="B35" s="1"/>
      <c r="C35" s="1"/>
      <c r="D35" s="1"/>
      <c r="E35" s="1"/>
      <c r="F35" s="1"/>
    </row>
    <row r="36" spans="1:6" x14ac:dyDescent="0.25">
      <c r="A36" s="1" t="s">
        <v>38</v>
      </c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 t="s">
        <v>37</v>
      </c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22" t="s">
        <v>46</v>
      </c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ht="21.75" x14ac:dyDescent="0.35">
      <c r="A42" s="30" t="s">
        <v>39</v>
      </c>
      <c r="B42" s="31">
        <v>0.96</v>
      </c>
      <c r="C42" s="1"/>
      <c r="D42" s="1"/>
      <c r="E42" s="1"/>
      <c r="F42" s="1"/>
    </row>
    <row r="43" spans="1:6" ht="21.75" x14ac:dyDescent="0.35">
      <c r="A43" s="30" t="s">
        <v>40</v>
      </c>
      <c r="B43" s="31">
        <v>0.4</v>
      </c>
      <c r="C43" s="1"/>
      <c r="D43" s="1"/>
      <c r="E43" s="1"/>
      <c r="F43" s="1"/>
    </row>
    <row r="44" spans="1:6" x14ac:dyDescent="0.25">
      <c r="A44" s="25" t="s">
        <v>43</v>
      </c>
      <c r="B44" s="2">
        <f>error_function($B$42,$B$43,D44)</f>
        <v>-1.3472954942639562E-2</v>
      </c>
      <c r="C44" s="1"/>
      <c r="D44" s="24" t="s">
        <v>22</v>
      </c>
      <c r="E44" s="1"/>
      <c r="F44" s="1"/>
    </row>
    <row r="45" spans="1:6" x14ac:dyDescent="0.25">
      <c r="A45" s="25" t="s">
        <v>41</v>
      </c>
      <c r="B45" s="3">
        <f t="shared" ref="B45:B46" si="2">error_function($B$42,$B$43,D45)</f>
        <v>-31.302450793618956</v>
      </c>
      <c r="C45" s="1" t="s">
        <v>44</v>
      </c>
      <c r="D45" s="24" t="s">
        <v>23</v>
      </c>
      <c r="E45" s="1"/>
      <c r="F45" s="1"/>
    </row>
    <row r="46" spans="1:6" x14ac:dyDescent="0.25">
      <c r="A46" s="25" t="s">
        <v>42</v>
      </c>
      <c r="B46" s="3">
        <f t="shared" si="2"/>
        <v>-27.958800173440739</v>
      </c>
      <c r="C46" s="1" t="s">
        <v>44</v>
      </c>
      <c r="D46" s="24" t="s">
        <v>24</v>
      </c>
      <c r="E46" s="1"/>
      <c r="F46" s="1"/>
    </row>
    <row r="47" spans="1:6" x14ac:dyDescent="0.25">
      <c r="A47" s="25" t="s">
        <v>53</v>
      </c>
      <c r="B47" s="3">
        <f>ATAN(B43/B42)</f>
        <v>0.39479111969976155</v>
      </c>
      <c r="C47" s="1" t="s">
        <v>49</v>
      </c>
      <c r="D47" s="24"/>
      <c r="E47" s="1"/>
      <c r="F47" s="1"/>
    </row>
    <row r="48" spans="1:6" x14ac:dyDescent="0.25">
      <c r="A48" s="25" t="s">
        <v>54</v>
      </c>
      <c r="B48" s="3">
        <f>180/PI()*B47</f>
        <v>22.61986494804043</v>
      </c>
      <c r="C48" s="1" t="s">
        <v>50</v>
      </c>
      <c r="D48" s="24"/>
      <c r="E48" s="1"/>
      <c r="F48" s="1"/>
    </row>
    <row r="49" spans="1:8" x14ac:dyDescent="0.25">
      <c r="A49" s="1"/>
      <c r="B49" s="1"/>
      <c r="C49" s="1"/>
      <c r="D49" s="24"/>
      <c r="E49" s="1"/>
      <c r="F49" s="1"/>
    </row>
    <row r="50" spans="1:8" x14ac:dyDescent="0.25">
      <c r="A50" s="28" t="s">
        <v>48</v>
      </c>
      <c r="B50" s="28" t="s">
        <v>47</v>
      </c>
      <c r="C50" s="27" t="s">
        <v>45</v>
      </c>
      <c r="D50" s="27"/>
      <c r="E50" s="1"/>
      <c r="F50" s="1"/>
    </row>
    <row r="51" spans="1:8" x14ac:dyDescent="0.25">
      <c r="A51" s="32">
        <f>180/PI()*B51</f>
        <v>0</v>
      </c>
      <c r="B51" s="2">
        <v>0</v>
      </c>
      <c r="C51" s="2">
        <f t="shared" ref="C51:C82" si="3">sqrt_error(B51,$B$42,$B$43,"")</f>
        <v>4.0000000000000036E-2</v>
      </c>
      <c r="D51" s="1"/>
      <c r="E51" s="1"/>
      <c r="F51" s="1"/>
    </row>
    <row r="52" spans="1:8" x14ac:dyDescent="0.25">
      <c r="A52" s="32">
        <f t="shared" ref="A52:A101" si="4">180/PI()*B52</f>
        <v>0.9</v>
      </c>
      <c r="B52" s="2">
        <f>B51+PI()/4/50</f>
        <v>1.5707963267948967E-2</v>
      </c>
      <c r="C52" s="2">
        <f t="shared" si="3"/>
        <v>3.38355058928776E-2</v>
      </c>
      <c r="D52" s="1"/>
      <c r="E52" s="1"/>
      <c r="F52" s="1"/>
    </row>
    <row r="53" spans="1:8" x14ac:dyDescent="0.25">
      <c r="A53" s="32">
        <f t="shared" si="4"/>
        <v>1.8</v>
      </c>
      <c r="B53" s="2">
        <f t="shared" ref="B53:B96" si="5">B52+PI()/4/50</f>
        <v>3.1415926535897934E-2</v>
      </c>
      <c r="C53" s="2">
        <f t="shared" si="3"/>
        <v>2.7909398417646381E-2</v>
      </c>
      <c r="D53" s="1"/>
      <c r="E53" s="1"/>
      <c r="F53" s="1"/>
    </row>
    <row r="54" spans="1:8" x14ac:dyDescent="0.25">
      <c r="A54" s="32">
        <f t="shared" si="4"/>
        <v>2.7</v>
      </c>
      <c r="B54" s="2">
        <f t="shared" si="5"/>
        <v>4.7123889803846901E-2</v>
      </c>
      <c r="C54" s="2">
        <f t="shared" si="3"/>
        <v>2.2223139752651753E-2</v>
      </c>
      <c r="D54" s="1"/>
      <c r="E54" s="1"/>
      <c r="F54" s="1"/>
    </row>
    <row r="55" spans="1:8" x14ac:dyDescent="0.25">
      <c r="A55" s="32">
        <f t="shared" si="4"/>
        <v>3.6</v>
      </c>
      <c r="B55" s="2">
        <f t="shared" si="5"/>
        <v>6.2831853071795868E-2</v>
      </c>
      <c r="C55" s="2">
        <f t="shared" si="3"/>
        <v>1.6778132897133986E-2</v>
      </c>
      <c r="D55" s="1"/>
      <c r="E55" s="1"/>
      <c r="F55" s="1"/>
      <c r="G55" s="18" t="s">
        <v>51</v>
      </c>
      <c r="H55" s="18"/>
    </row>
    <row r="56" spans="1:8" x14ac:dyDescent="0.25">
      <c r="A56" s="32">
        <f t="shared" si="4"/>
        <v>4.5</v>
      </c>
      <c r="B56" s="2">
        <f t="shared" si="5"/>
        <v>7.8539816339744828E-2</v>
      </c>
      <c r="C56" s="2">
        <f t="shared" si="3"/>
        <v>1.1575721325059211E-2</v>
      </c>
      <c r="D56" s="1"/>
      <c r="E56" s="1"/>
      <c r="F56" s="1"/>
      <c r="G56" s="18">
        <v>0</v>
      </c>
      <c r="H56" s="18">
        <v>0</v>
      </c>
    </row>
    <row r="57" spans="1:8" x14ac:dyDescent="0.25">
      <c r="A57" s="32">
        <f t="shared" si="4"/>
        <v>5.3999999999999995</v>
      </c>
      <c r="B57" s="2">
        <f t="shared" si="5"/>
        <v>9.4247779607693788E-2</v>
      </c>
      <c r="C57" s="2">
        <f t="shared" si="3"/>
        <v>6.6171886536375126E-3</v>
      </c>
      <c r="D57" s="1"/>
      <c r="E57" s="1"/>
      <c r="F57" s="1"/>
      <c r="G57" s="18">
        <v>45</v>
      </c>
      <c r="H57" s="18">
        <v>0</v>
      </c>
    </row>
    <row r="58" spans="1:8" x14ac:dyDescent="0.25">
      <c r="A58" s="32">
        <f t="shared" si="4"/>
        <v>6.2999999999999989</v>
      </c>
      <c r="B58" s="2">
        <f t="shared" si="5"/>
        <v>0.10995574287564275</v>
      </c>
      <c r="C58" s="2">
        <f t="shared" si="3"/>
        <v>1.9037583266094122E-3</v>
      </c>
      <c r="D58" s="1"/>
      <c r="E58" s="1"/>
      <c r="F58" s="1"/>
      <c r="G58" s="18"/>
      <c r="H58" s="18"/>
    </row>
    <row r="59" spans="1:8" x14ac:dyDescent="0.25">
      <c r="A59" s="32">
        <f t="shared" si="4"/>
        <v>7.1999999999999993</v>
      </c>
      <c r="B59" s="2">
        <f t="shared" si="5"/>
        <v>0.12566370614359171</v>
      </c>
      <c r="C59" s="2">
        <f t="shared" si="3"/>
        <v>-2.5634066876204205E-3</v>
      </c>
      <c r="D59" s="1"/>
      <c r="E59" s="1"/>
      <c r="F59" s="1"/>
      <c r="G59" s="18" t="s">
        <v>55</v>
      </c>
      <c r="H59" s="18" t="s">
        <v>52</v>
      </c>
    </row>
    <row r="60" spans="1:8" x14ac:dyDescent="0.25">
      <c r="A60" s="32">
        <f t="shared" si="4"/>
        <v>8.0999999999999979</v>
      </c>
      <c r="B60" s="2">
        <f t="shared" si="5"/>
        <v>0.14137166941154067</v>
      </c>
      <c r="C60" s="2">
        <f t="shared" si="3"/>
        <v>-6.7832041829282586E-3</v>
      </c>
      <c r="D60" s="1"/>
      <c r="E60" s="1"/>
      <c r="F60" s="1"/>
      <c r="G60" s="35">
        <f>B48</f>
        <v>22.61986494804043</v>
      </c>
      <c r="H60" s="18">
        <v>0</v>
      </c>
    </row>
    <row r="61" spans="1:8" x14ac:dyDescent="0.25">
      <c r="A61" s="32">
        <f t="shared" si="4"/>
        <v>8.9999999999999982</v>
      </c>
      <c r="B61" s="2">
        <f t="shared" si="5"/>
        <v>0.15707963267948963</v>
      </c>
      <c r="C61" s="2">
        <f t="shared" si="3"/>
        <v>-1.0754592987424564E-2</v>
      </c>
      <c r="D61" s="1"/>
      <c r="E61" s="1"/>
      <c r="F61" s="1"/>
      <c r="G61" s="35">
        <f>G60</f>
        <v>22.61986494804043</v>
      </c>
      <c r="H61" s="35">
        <f>sqrt_error(G61*PI()/180,B42,B43,"")</f>
        <v>-3.9999999999999952E-2</v>
      </c>
    </row>
    <row r="62" spans="1:8" x14ac:dyDescent="0.25">
      <c r="A62" s="32">
        <f t="shared" si="4"/>
        <v>9.8999999999999986</v>
      </c>
      <c r="B62" s="2">
        <f t="shared" si="5"/>
        <v>0.17278759594743859</v>
      </c>
      <c r="C62" s="2">
        <f t="shared" si="3"/>
        <v>-1.4476593220346787E-2</v>
      </c>
      <c r="D62" s="1"/>
      <c r="E62" s="1"/>
      <c r="F62" s="1"/>
      <c r="G62" s="18"/>
      <c r="H62" s="18"/>
    </row>
    <row r="63" spans="1:8" x14ac:dyDescent="0.25">
      <c r="A63" s="32">
        <f t="shared" si="4"/>
        <v>10.799999999999997</v>
      </c>
      <c r="B63" s="2">
        <f t="shared" si="5"/>
        <v>0.18849555921538755</v>
      </c>
      <c r="C63" s="2">
        <f t="shared" si="3"/>
        <v>-1.794828653383097E-2</v>
      </c>
      <c r="D63" s="1"/>
      <c r="E63" s="1"/>
      <c r="F63" s="1"/>
      <c r="G63" s="18" t="s">
        <v>56</v>
      </c>
      <c r="H63" s="18"/>
    </row>
    <row r="64" spans="1:8" x14ac:dyDescent="0.25">
      <c r="A64" s="32">
        <f t="shared" si="4"/>
        <v>11.699999999999998</v>
      </c>
      <c r="B64" s="2">
        <f t="shared" si="5"/>
        <v>0.20420352248333651</v>
      </c>
      <c r="C64" s="2">
        <f t="shared" si="3"/>
        <v>-2.1168816339500064E-2</v>
      </c>
      <c r="D64" s="1"/>
      <c r="E64" s="1"/>
      <c r="F64" s="1"/>
      <c r="G64" s="18">
        <v>0</v>
      </c>
      <c r="H64" s="18">
        <v>0</v>
      </c>
    </row>
    <row r="65" spans="1:8" x14ac:dyDescent="0.25">
      <c r="A65" s="32">
        <f t="shared" si="4"/>
        <v>12.599999999999998</v>
      </c>
      <c r="B65" s="2">
        <f t="shared" si="5"/>
        <v>0.21991148575128547</v>
      </c>
      <c r="C65" s="2">
        <f t="shared" si="3"/>
        <v>-2.413738801981451E-2</v>
      </c>
      <c r="D65" s="1"/>
      <c r="E65" s="1"/>
      <c r="F65" s="1"/>
      <c r="G65" s="18">
        <v>0</v>
      </c>
      <c r="H65" s="18">
        <f>sqrt_error(G65,B42,B43,"")</f>
        <v>4.0000000000000036E-2</v>
      </c>
    </row>
    <row r="66" spans="1:8" x14ac:dyDescent="0.25">
      <c r="A66" s="32">
        <f t="shared" si="4"/>
        <v>13.499999999999996</v>
      </c>
      <c r="B66" s="2">
        <f t="shared" si="5"/>
        <v>0.23561944901923443</v>
      </c>
      <c r="C66" s="2">
        <f t="shared" si="3"/>
        <v>-2.6853269124131707E-2</v>
      </c>
      <c r="D66" s="1"/>
      <c r="E66" s="1"/>
      <c r="F66" s="1"/>
      <c r="G66" s="18"/>
      <c r="H66" s="18"/>
    </row>
    <row r="67" spans="1:8" x14ac:dyDescent="0.25">
      <c r="A67" s="32">
        <f t="shared" si="4"/>
        <v>14.399999999999999</v>
      </c>
      <c r="B67" s="2">
        <f t="shared" si="5"/>
        <v>0.25132741228718342</v>
      </c>
      <c r="C67" s="2">
        <f t="shared" si="3"/>
        <v>-2.9315789549427807E-2</v>
      </c>
      <c r="D67" s="1"/>
      <c r="E67" s="1"/>
      <c r="F67" s="1"/>
      <c r="G67" s="18" t="s">
        <v>57</v>
      </c>
      <c r="H67" s="18"/>
    </row>
    <row r="68" spans="1:8" x14ac:dyDescent="0.25">
      <c r="A68" s="32">
        <f t="shared" si="4"/>
        <v>15.299999999999999</v>
      </c>
      <c r="B68" s="2">
        <f t="shared" si="5"/>
        <v>0.2670353755551324</v>
      </c>
      <c r="C68" s="2">
        <f t="shared" si="3"/>
        <v>-3.152434170563527E-2</v>
      </c>
      <c r="D68" s="1"/>
      <c r="E68" s="1"/>
      <c r="F68" s="1"/>
      <c r="G68" s="18">
        <v>45</v>
      </c>
      <c r="H68" s="18">
        <v>0</v>
      </c>
    </row>
    <row r="69" spans="1:8" x14ac:dyDescent="0.25">
      <c r="A69" s="32">
        <f t="shared" si="4"/>
        <v>16.2</v>
      </c>
      <c r="B69" s="2">
        <f t="shared" si="5"/>
        <v>0.28274333882308139</v>
      </c>
      <c r="C69" s="2">
        <f t="shared" si="3"/>
        <v>-3.3478380665557021E-2</v>
      </c>
      <c r="D69" s="1"/>
      <c r="E69" s="1"/>
      <c r="F69" s="1"/>
      <c r="G69" s="18">
        <v>45</v>
      </c>
      <c r="H69" s="18">
        <f>sqrt_error(G69*PI()/180,B42,B43,"")</f>
        <v>3.8334777586295353E-2</v>
      </c>
    </row>
    <row r="70" spans="1:8" x14ac:dyDescent="0.25">
      <c r="A70" s="32">
        <f t="shared" si="4"/>
        <v>17.100000000000001</v>
      </c>
      <c r="B70" s="2">
        <f t="shared" si="5"/>
        <v>0.29845130209103038</v>
      </c>
      <c r="C70" s="2">
        <f t="shared" si="3"/>
        <v>-3.5177424299318485E-2</v>
      </c>
      <c r="D70" s="1"/>
      <c r="E70" s="1"/>
      <c r="F70" s="1"/>
    </row>
    <row r="71" spans="1:8" x14ac:dyDescent="0.25">
      <c r="A71" s="32">
        <f t="shared" si="4"/>
        <v>18.000000000000004</v>
      </c>
      <c r="B71" s="2">
        <f t="shared" si="5"/>
        <v>0.31415926535897937</v>
      </c>
      <c r="C71" s="2">
        <f t="shared" si="3"/>
        <v>-3.6621053393326344E-2</v>
      </c>
      <c r="D71" s="1"/>
      <c r="E71" s="1"/>
      <c r="F71" s="1"/>
    </row>
    <row r="72" spans="1:8" x14ac:dyDescent="0.25">
      <c r="A72" s="32">
        <f t="shared" si="4"/>
        <v>18.900000000000006</v>
      </c>
      <c r="B72" s="2">
        <f t="shared" si="5"/>
        <v>0.32986722862692835</v>
      </c>
      <c r="C72" s="2">
        <f t="shared" si="3"/>
        <v>-3.7808911753703239E-2</v>
      </c>
      <c r="D72" s="1"/>
      <c r="E72" s="1"/>
      <c r="F72" s="1"/>
    </row>
    <row r="73" spans="1:8" x14ac:dyDescent="0.25">
      <c r="A73" s="32">
        <f t="shared" si="4"/>
        <v>19.800000000000004</v>
      </c>
      <c r="B73" s="2">
        <f t="shared" si="5"/>
        <v>0.34557519189487734</v>
      </c>
      <c r="C73" s="2">
        <f t="shared" si="3"/>
        <v>-3.8740706294173005E-2</v>
      </c>
      <c r="D73" s="1"/>
      <c r="E73" s="1"/>
      <c r="F73" s="1"/>
    </row>
    <row r="74" spans="1:8" x14ac:dyDescent="0.25">
      <c r="A74" s="32">
        <f t="shared" si="4"/>
        <v>20.700000000000006</v>
      </c>
      <c r="B74" s="2">
        <f t="shared" si="5"/>
        <v>0.36128315516282633</v>
      </c>
      <c r="C74" s="2">
        <f t="shared" si="3"/>
        <v>-3.9416207108375428E-2</v>
      </c>
      <c r="D74" s="1"/>
      <c r="E74" s="1"/>
      <c r="F74" s="1"/>
    </row>
    <row r="75" spans="1:8" x14ac:dyDescent="0.25">
      <c r="A75" s="32">
        <f t="shared" si="4"/>
        <v>21.600000000000009</v>
      </c>
      <c r="B75" s="2">
        <f t="shared" si="5"/>
        <v>0.37699111843077532</v>
      </c>
      <c r="C75" s="2">
        <f t="shared" si="3"/>
        <v>-3.9835247526592503E-2</v>
      </c>
      <c r="D75" s="1"/>
      <c r="E75" s="1"/>
      <c r="F75" s="1"/>
    </row>
    <row r="76" spans="1:8" x14ac:dyDescent="0.25">
      <c r="A76" s="32">
        <f t="shared" si="4"/>
        <v>22.500000000000011</v>
      </c>
      <c r="B76" s="2">
        <f>B75+PI()/4/50</f>
        <v>0.39269908169872431</v>
      </c>
      <c r="C76" s="2">
        <f t="shared" si="3"/>
        <v>-3.9997724156871202E-2</v>
      </c>
      <c r="D76" s="1"/>
      <c r="E76" s="1"/>
      <c r="F76" s="1"/>
    </row>
    <row r="77" spans="1:8" x14ac:dyDescent="0.25">
      <c r="A77" s="32">
        <f t="shared" si="4"/>
        <v>23.400000000000009</v>
      </c>
      <c r="B77" s="2">
        <f t="shared" si="5"/>
        <v>0.40840704496667329</v>
      </c>
      <c r="C77" s="2">
        <f t="shared" si="3"/>
        <v>-3.9903596910534078E-2</v>
      </c>
      <c r="D77" s="1"/>
      <c r="E77" s="1"/>
      <c r="F77" s="1"/>
    </row>
    <row r="78" spans="1:8" x14ac:dyDescent="0.25">
      <c r="A78" s="32">
        <f t="shared" si="4"/>
        <v>24.300000000000011</v>
      </c>
      <c r="B78" s="2">
        <f t="shared" si="5"/>
        <v>0.42411500823462228</v>
      </c>
      <c r="C78" s="2">
        <f t="shared" si="3"/>
        <v>-3.9552889012070921E-2</v>
      </c>
      <c r="D78" s="1"/>
      <c r="E78" s="1"/>
      <c r="F78" s="1"/>
    </row>
    <row r="79" spans="1:8" x14ac:dyDescent="0.25">
      <c r="A79" s="32">
        <f t="shared" si="4"/>
        <v>25.200000000000014</v>
      </c>
      <c r="B79" s="2">
        <f t="shared" si="5"/>
        <v>0.43982297150257127</v>
      </c>
      <c r="C79" s="2">
        <f t="shared" si="3"/>
        <v>-3.8945686993407794E-2</v>
      </c>
      <c r="D79" s="1"/>
      <c r="E79" s="1"/>
      <c r="F79" s="1"/>
    </row>
    <row r="80" spans="1:8" x14ac:dyDescent="0.25">
      <c r="A80" s="32">
        <f t="shared" si="4"/>
        <v>26.100000000000016</v>
      </c>
      <c r="B80" s="2">
        <f t="shared" si="5"/>
        <v>0.45553093477052026</v>
      </c>
      <c r="C80" s="2">
        <f t="shared" si="3"/>
        <v>-3.8082140672557038E-2</v>
      </c>
      <c r="D80" s="1"/>
      <c r="E80" s="1"/>
      <c r="F80" s="1"/>
    </row>
    <row r="81" spans="1:6" x14ac:dyDescent="0.25">
      <c r="A81" s="32">
        <f t="shared" si="4"/>
        <v>27.000000000000014</v>
      </c>
      <c r="B81" s="2">
        <f t="shared" si="5"/>
        <v>0.47123889803846924</v>
      </c>
      <c r="C81" s="2">
        <f t="shared" si="3"/>
        <v>-3.6962463116651863E-2</v>
      </c>
      <c r="D81" s="1"/>
      <c r="E81" s="1"/>
      <c r="F81" s="1"/>
    </row>
    <row r="82" spans="1:6" x14ac:dyDescent="0.25">
      <c r="A82" s="32">
        <f t="shared" si="4"/>
        <v>27.900000000000016</v>
      </c>
      <c r="B82" s="2">
        <f t="shared" si="5"/>
        <v>0.48694686130641823</v>
      </c>
      <c r="C82" s="2">
        <f t="shared" si="3"/>
        <v>-3.558693058937494E-2</v>
      </c>
      <c r="D82" s="1"/>
      <c r="E82" s="1"/>
      <c r="F82" s="1"/>
    </row>
    <row r="83" spans="1:6" x14ac:dyDescent="0.25">
      <c r="A83" s="32">
        <f t="shared" si="4"/>
        <v>28.800000000000015</v>
      </c>
      <c r="B83" s="2">
        <f t="shared" si="5"/>
        <v>0.50265482457436717</v>
      </c>
      <c r="C83" s="2">
        <f t="shared" ref="C83:C114" si="6">sqrt_error(B83,$B$42,$B$43,"")</f>
        <v>-3.3955882482795109E-2</v>
      </c>
      <c r="D83" s="1"/>
      <c r="E83" s="1"/>
      <c r="F83" s="1"/>
    </row>
    <row r="84" spans="1:6" x14ac:dyDescent="0.25">
      <c r="A84" s="32">
        <f t="shared" si="4"/>
        <v>29.700000000000017</v>
      </c>
      <c r="B84" s="2">
        <f t="shared" si="5"/>
        <v>0.51836278784231615</v>
      </c>
      <c r="C84" s="2">
        <f t="shared" si="6"/>
        <v>-3.206972123362653E-2</v>
      </c>
      <c r="D84" s="1"/>
      <c r="E84" s="1"/>
      <c r="F84" s="1"/>
    </row>
    <row r="85" spans="1:6" x14ac:dyDescent="0.25">
      <c r="A85" s="32">
        <f t="shared" si="4"/>
        <v>30.600000000000019</v>
      </c>
      <c r="B85" s="2">
        <f t="shared" si="5"/>
        <v>0.53407075111026514</v>
      </c>
      <c r="C85" s="2">
        <f t="shared" si="6"/>
        <v>-2.9928912223934387E-2</v>
      </c>
      <c r="D85" s="1"/>
      <c r="E85" s="1"/>
      <c r="F85" s="1"/>
    </row>
    <row r="86" spans="1:6" x14ac:dyDescent="0.25">
      <c r="A86" s="32">
        <f t="shared" si="4"/>
        <v>31.500000000000018</v>
      </c>
      <c r="B86" s="2">
        <f t="shared" si="5"/>
        <v>0.54977871437821413</v>
      </c>
      <c r="C86" s="2">
        <f t="shared" si="6"/>
        <v>-2.7533983666308017E-2</v>
      </c>
      <c r="D86" s="1"/>
      <c r="E86" s="1"/>
      <c r="F86" s="1"/>
    </row>
    <row r="87" spans="1:6" x14ac:dyDescent="0.25">
      <c r="A87" s="32">
        <f t="shared" si="4"/>
        <v>32.40000000000002</v>
      </c>
      <c r="B87" s="2">
        <f>B86+PI()/4/50</f>
        <v>0.56548667764616312</v>
      </c>
      <c r="C87" s="2">
        <f t="shared" si="6"/>
        <v>-2.4885526473532992E-2</v>
      </c>
      <c r="D87" s="1"/>
      <c r="E87" s="1"/>
      <c r="F87" s="1"/>
    </row>
    <row r="88" spans="1:6" x14ac:dyDescent="0.25">
      <c r="A88" s="32">
        <f t="shared" si="4"/>
        <v>33.300000000000018</v>
      </c>
      <c r="B88" s="2">
        <f t="shared" si="5"/>
        <v>0.5811946409141121</v>
      </c>
      <c r="C88" s="2">
        <f t="shared" si="6"/>
        <v>-2.1984194112792038E-2</v>
      </c>
      <c r="D88" s="1"/>
      <c r="E88" s="1"/>
      <c r="F88" s="1"/>
    </row>
    <row r="89" spans="1:6" x14ac:dyDescent="0.25">
      <c r="A89" s="32">
        <f t="shared" si="4"/>
        <v>34.200000000000024</v>
      </c>
      <c r="B89" s="2">
        <f t="shared" si="5"/>
        <v>0.59690260418206109</v>
      </c>
      <c r="C89" s="2">
        <f t="shared" si="6"/>
        <v>-1.8830702444431493E-2</v>
      </c>
      <c r="D89" s="1"/>
      <c r="E89" s="1"/>
      <c r="F89" s="1"/>
    </row>
    <row r="90" spans="1:6" x14ac:dyDescent="0.25">
      <c r="A90" s="32">
        <f t="shared" si="4"/>
        <v>35.100000000000023</v>
      </c>
      <c r="B90" s="2">
        <f t="shared" si="5"/>
        <v>0.61261056745001008</v>
      </c>
      <c r="C90" s="2">
        <f t="shared" si="6"/>
        <v>-1.5425829545333799E-2</v>
      </c>
      <c r="D90" s="1"/>
      <c r="E90" s="1"/>
      <c r="F90" s="1"/>
    </row>
    <row r="91" spans="1:6" x14ac:dyDescent="0.25">
      <c r="A91" s="32">
        <f t="shared" si="4"/>
        <v>36.000000000000028</v>
      </c>
      <c r="B91" s="2">
        <f t="shared" si="5"/>
        <v>0.62831853071795907</v>
      </c>
      <c r="C91" s="2">
        <f t="shared" si="6"/>
        <v>-1.1770415516938712E-2</v>
      </c>
      <c r="D91" s="1"/>
      <c r="E91" s="1"/>
      <c r="F91" s="1"/>
    </row>
    <row r="92" spans="1:6" x14ac:dyDescent="0.25">
      <c r="A92" s="32">
        <f t="shared" si="4"/>
        <v>36.900000000000027</v>
      </c>
      <c r="B92" s="2">
        <f t="shared" si="5"/>
        <v>0.64402649398590806</v>
      </c>
      <c r="C92" s="2">
        <f t="shared" si="6"/>
        <v>-7.8653622779603638E-3</v>
      </c>
      <c r="D92" s="1"/>
      <c r="E92" s="1"/>
      <c r="F92" s="1"/>
    </row>
    <row r="93" spans="1:6" x14ac:dyDescent="0.25">
      <c r="A93" s="32">
        <f t="shared" si="4"/>
        <v>37.800000000000026</v>
      </c>
      <c r="B93" s="2">
        <f t="shared" si="5"/>
        <v>0.65973445725385704</v>
      </c>
      <c r="C93" s="2">
        <f t="shared" si="6"/>
        <v>-3.7116333418531901E-3</v>
      </c>
      <c r="D93" s="1"/>
      <c r="E93" s="1"/>
      <c r="F93" s="1"/>
    </row>
    <row r="94" spans="1:6" x14ac:dyDescent="0.25">
      <c r="A94" s="32">
        <f t="shared" si="4"/>
        <v>38.700000000000031</v>
      </c>
      <c r="B94" s="2">
        <f t="shared" si="5"/>
        <v>0.67544242052180603</v>
      </c>
      <c r="C94" s="2">
        <f t="shared" si="6"/>
        <v>6.8974642092151377E-4</v>
      </c>
      <c r="D94" s="1"/>
      <c r="E94" s="1"/>
      <c r="F94" s="1"/>
    </row>
    <row r="95" spans="1:6" x14ac:dyDescent="0.25">
      <c r="A95" s="33">
        <f t="shared" si="4"/>
        <v>39.60000000000003</v>
      </c>
      <c r="B95" s="2">
        <f t="shared" si="5"/>
        <v>0.69115038378975502</v>
      </c>
      <c r="C95" s="2">
        <f t="shared" si="6"/>
        <v>5.3376910357666183E-3</v>
      </c>
      <c r="D95" s="1"/>
      <c r="E95" s="1"/>
      <c r="F95" s="1"/>
    </row>
    <row r="96" spans="1:6" x14ac:dyDescent="0.25">
      <c r="A96" s="33">
        <f t="shared" si="4"/>
        <v>40.500000000000028</v>
      </c>
      <c r="B96" s="2">
        <f t="shared" si="5"/>
        <v>0.70685834705770401</v>
      </c>
      <c r="C96" s="2">
        <f t="shared" si="6"/>
        <v>1.0231053691896998E-2</v>
      </c>
      <c r="D96" s="1"/>
      <c r="E96" s="1"/>
      <c r="F96" s="1"/>
    </row>
    <row r="97" spans="1:6" x14ac:dyDescent="0.25">
      <c r="A97" s="33">
        <f t="shared" si="4"/>
        <v>41.400000000000034</v>
      </c>
      <c r="B97" s="9">
        <f>B96+PI()/4/50</f>
        <v>0.72256631032565299</v>
      </c>
      <c r="C97" s="9">
        <f t="shared" si="6"/>
        <v>1.5368627025298322E-2</v>
      </c>
      <c r="D97" s="29"/>
      <c r="E97" s="1"/>
      <c r="F97" s="1"/>
    </row>
    <row r="98" spans="1:6" x14ac:dyDescent="0.25">
      <c r="A98" s="33">
        <f t="shared" si="4"/>
        <v>42.300000000000033</v>
      </c>
      <c r="B98" s="9">
        <f t="shared" ref="B98:B99" si="7">B97+PI()/4/50</f>
        <v>0.73827427359360198</v>
      </c>
      <c r="C98" s="9">
        <f t="shared" si="6"/>
        <v>2.0749143416625534E-2</v>
      </c>
      <c r="D98" s="29"/>
      <c r="E98" s="1"/>
      <c r="F98" s="1"/>
    </row>
    <row r="99" spans="1:6" x14ac:dyDescent="0.25">
      <c r="A99" s="33">
        <f t="shared" si="4"/>
        <v>43.200000000000038</v>
      </c>
      <c r="B99" s="9">
        <f t="shared" si="7"/>
        <v>0.75398223686155097</v>
      </c>
      <c r="C99" s="9">
        <f t="shared" si="6"/>
        <v>2.6371275303969724E-2</v>
      </c>
      <c r="D99" s="29"/>
      <c r="E99" s="1"/>
      <c r="F99" s="1"/>
    </row>
    <row r="100" spans="1:6" x14ac:dyDescent="0.25">
      <c r="A100" s="33">
        <f t="shared" si="4"/>
        <v>44.100000000000037</v>
      </c>
      <c r="B100" s="9">
        <f>B99+PI()/4/50</f>
        <v>0.76969020012949996</v>
      </c>
      <c r="C100" s="9">
        <f t="shared" si="6"/>
        <v>3.2233635510413271E-2</v>
      </c>
      <c r="D100" s="29"/>
      <c r="E100" s="1"/>
      <c r="F100" s="1"/>
    </row>
    <row r="101" spans="1:6" x14ac:dyDescent="0.25">
      <c r="A101" s="34">
        <f t="shared" si="4"/>
        <v>45.000000000000036</v>
      </c>
      <c r="B101" s="12">
        <f>B100+PI()/4/50</f>
        <v>0.78539816339744895</v>
      </c>
      <c r="C101" s="12">
        <f t="shared" si="6"/>
        <v>3.8334777586295561E-2</v>
      </c>
      <c r="D101" s="26"/>
      <c r="E101" s="1"/>
      <c r="F10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inimize_all">
                <anchor moveWithCells="1" sizeWithCells="1">
                  <from>
                    <xdr:col>1</xdr:col>
                    <xdr:colOff>581025</xdr:colOff>
                    <xdr:row>1</xdr:row>
                    <xdr:rowOff>95250</xdr:rowOff>
                  </from>
                  <to>
                    <xdr:col>2</xdr:col>
                    <xdr:colOff>847725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_values">
                <anchor moveWithCells="1" sizeWithCells="1">
                  <from>
                    <xdr:col>3</xdr:col>
                    <xdr:colOff>76200</xdr:colOff>
                    <xdr:row>1</xdr:row>
                    <xdr:rowOff>95250</xdr:rowOff>
                  </from>
                  <to>
                    <xdr:col>4</xdr:col>
                    <xdr:colOff>57150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alpha_max_plus_beta_min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2020-03-26T08:14:18Z</dcterms:created>
  <dcterms:modified xsi:type="dcterms:W3CDTF">2020-03-28T04:20:04Z</dcterms:modified>
</cp:coreProperties>
</file>